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Dashboard" sheetId="1" r:id="rId1"/>
    <sheet name="02_Infra_Check" sheetId="2" r:id="rId2"/>
    <sheet name="03_VDI_Check" sheetId="3" r:id="rId3"/>
    <sheet name="04_Management" sheetId="4" r:id="rId4"/>
  </sheets>
  <calcPr calcId="124519" fullCalcOnLoad="1" forceFullCalc="1"/>
</workbook>
</file>

<file path=xl/styles.xml><?xml version="1.0" encoding="utf-8"?>
<styleSheet xmlns="http://schemas.openxmlformats.org/spreadsheetml/2006/main">
  <fonts count="6">
    <font>
      <sz val="10"/>
      <name val="맑은 고딕"/>
    </font>
    <font>
      <b/>
      <sz val="20"/>
      <color rgb="FF1F4E78"/>
      <name val="맑은 고딕"/>
    </font>
    <font>
      <b/>
      <sz val="11"/>
      <color rgb="FFFFFFFF"/>
      <name val="맑은 고딕"/>
    </font>
    <font>
      <b/>
      <sz val="11"/>
      <color rgb="FF1F4E78"/>
      <name val="맑은 고딕"/>
    </font>
    <font>
      <sz val="9"/>
      <color rgb="FF666666"/>
      <name val="맑은 고딕"/>
    </font>
    <font>
      <u/>
      <color rgb="FF0563C1"/>
      <sz val="10"/>
      <name val="맑은 고딕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D9D9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1" xfId="0">
      <alignment vertical="center" wrapText="1"/>
    </xf>
    <xf numFmtId="0" fontId="1" fillId="0" borderId="0" xfId="0">
      <alignment horizontal="left" vertical="center"/>
    </xf>
    <xf numFmtId="0" fontId="3" fillId="0" borderId="0" xfId="0">
      <alignment horizontal="left" vertical="center"/>
    </xf>
    <xf numFmtId="0" fontId="2" fillId="2" borderId="1" xfId="0">
      <alignment horizontal="center" vertical="center" wrapText="1"/>
    </xf>
    <xf numFmtId="0" fontId="3" fillId="3" borderId="1" xfId="0">
      <alignment vertical="center" wrapText="1"/>
    </xf>
    <xf numFmtId="0" fontId="0" fillId="0" borderId="1" xfId="0">
      <alignment vertical="top" wrapText="1"/>
    </xf>
    <xf numFmtId="0" fontId="3" fillId="4" borderId="1" xfId="0">
      <alignment horizontal="center" vertical="center" wrapText="1"/>
    </xf>
    <xf numFmtId="0" fontId="3" fillId="5" borderId="1" xfId="0">
      <alignment horizontal="center" vertical="center" wrapText="1"/>
    </xf>
    <xf numFmtId="0" fontId="3" fillId="6" borderId="1" xfId="0">
      <alignment horizontal="center" vertical="center" wrapText="1"/>
    </xf>
    <xf numFmtId="0" fontId="4" fillId="0" borderId="0" xfId="0">
      <alignment vertical="top" wrapText="1"/>
    </xf>
    <xf numFmtId="0" fontId="3" fillId="7" borderId="1" xfId="0">
      <alignment horizontal="center" vertical="center" wrapText="1"/>
    </xf>
    <xf numFmtId="0" fontId="5" fillId="0" borderId="0" xfId="0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6" customWidth="1"/>
    <col min="3" max="3" width="18" customWidth="1"/>
    <col min="4" max="4" width="30" customWidth="1"/>
    <col min="5" max="5" width="18" customWidth="1"/>
    <col min="6" max="6" width="16" customWidth="1"/>
    <col min="7" max="7" width="20" customWidth="1"/>
  </cols>
  <sheetData>
    <row r="1">
      <c r="A1" s="1" t="inlineStr">
        <is>
          <t>공공기관 VDI 월간 점검보고서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</row>
    <row r="2">
      <c r="A2" s="2" t="inlineStr">
        <is>
          <t>Dashboard / 종합 현황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</row>
    <row r="3">
      <c r="A3" s="4" t="inlineStr">
        <is>
          <t>고객사</t>
        </is>
      </c>
      <c r="B3" s="5" t="inlineStr">
        <is>
          <t>입력</t>
        </is>
      </c>
      <c r="C3" s="4" t="inlineStr">
        <is>
          <t>점검월</t>
        </is>
      </c>
      <c r="D3" s="5" t="inlineStr">
        <is>
          <t>2026-05</t>
        </is>
      </c>
      <c r="E3" s="4" t="inlineStr">
        <is>
          <t>점검자</t>
        </is>
      </c>
      <c r="F3" s="5" t="inlineStr">
        <is>
          <t>현우</t>
        </is>
      </c>
      <c r="G3" s="9" t="inlineStr">
        <is>
          <t>버전 v0.2</t>
        </is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>
      <c r="A5" s="3" t="inlineStr">
        <is>
          <t>핵심 지표</t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</row>
    <row r="6">
      <c r="A6" s="10" t="inlineStr">
        <is>
          <t>인프라 위험</t>
        </is>
      </c>
      <c r="B6" s="8">
        <f>COUNTIF('02_Infra_Check'!F:F,"장애")</f>
        <v/>
      </c>
      <c r="C6" s="10" t="inlineStr">
        <is>
          <t>인프라 주의</t>
        </is>
      </c>
      <c r="D6" s="7">
        <f>COUNTIF('02_Infra_Check'!F:F,"주의")</f>
        <v/>
      </c>
      <c r="E6" s="10" t="inlineStr">
        <is>
          <t>VDI 위험</t>
        </is>
      </c>
      <c r="F6" s="8">
        <f>COUNTIF('03_VDI_Check'!H:H,"장애")</f>
        <v/>
      </c>
      <c r="G6" s="9" t="inlineStr">
        <is>
          <t/>
        </is>
      </c>
    </row>
    <row r="7">
      <c r="A7" s="10" t="inlineStr">
        <is>
          <t>VDI 주의</t>
        </is>
      </c>
      <c r="B7" s="7">
        <f>COUNTIF('03_VDI_Check'!H:H,"주의")</f>
        <v/>
      </c>
      <c r="C7" s="10" t="inlineStr">
        <is>
          <t>미해결 이슈</t>
        </is>
      </c>
      <c r="D7" s="8">
        <f>COUNTIF('04_Management'!G:G,"미해결")</f>
        <v/>
      </c>
      <c r="E7" s="10" t="inlineStr">
        <is>
          <t>진행중 이슈</t>
        </is>
      </c>
      <c r="F7" s="7">
        <f>COUNTIF('04_Management'!G:G,"진행중")</f>
        <v/>
      </c>
      <c r="G7" s="9" t="inlineStr">
        <is>
          <t/>
        </is>
      </c>
    </row>
    <row r="8">
      <c r="A8" s="0" t="inlineStr">
        <is>
          <t/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</row>
    <row r="9">
      <c r="A9" s="3" t="inlineStr">
        <is>
          <t>종합 상태</t>
        </is>
      </c>
      <c r="B9" s="0">
        <f>IF(SUM(B6,D6,F6,D7)&gt;0,"위험",IF(SUM(D6,B7,F7)&gt;0,"주의","정상"))</f>
        <v/>
      </c>
      <c r="C9" s="3" t="inlineStr">
        <is>
          <t>월간 요약</t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</row>
    <row r="10">
      <c r="A10" s="4" t="inlineStr">
        <is>
          <t>인프라</t>
        </is>
      </c>
      <c r="B10" s="0">
        <f>IF(B6&gt;0,"장애",IF(D6&gt;0,"주의","정상"))</f>
        <v/>
      </c>
      <c r="C10" s="5" t="inlineStr">
        <is>
          <t>주요 특이사항</t>
        </is>
      </c>
      <c r="D10" s="5" t="inlineStr">
        <is>
          <t>이번 달 주요 장애/변경/권고사항을 요약 입력</t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</row>
    <row r="11">
      <c r="A11" s="4" t="inlineStr">
        <is>
          <t>VDI 서비스</t>
        </is>
      </c>
      <c r="B11" s="0">
        <f>IF(F6&gt;0,"장애",IF(B7&gt;0,"주의","정상"))</f>
        <v/>
      </c>
      <c r="C11" s="5" t="inlineStr">
        <is>
          <t>다음 조치</t>
        </is>
      </c>
      <c r="D11" s="5" t="inlineStr">
        <is>
          <t>미해결/주의 항목 중심으로 다음 조치 입력</t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</row>
    <row r="12">
      <c r="A12" s="4" t="inlineStr">
        <is>
          <t>관리/보안</t>
        </is>
      </c>
      <c r="B12" s="0">
        <f>IF(D7&gt;0,"장애",IF(F7&gt;0,"주의","정상"))</f>
        <v/>
      </c>
      <c r="C12" s="5" t="inlineStr">
        <is>
          <t>고객 보고 메모</t>
        </is>
      </c>
      <c r="D12" s="5" t="inlineStr">
        <is>
          <t>고객에게 전달할 요약 문구 입력</t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</row>
    <row r="14">
      <c r="A14" s="3" t="inlineStr">
        <is>
          <t>바로가기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</row>
    <row r="15">
      <c r="A15" s="11" t="inlineStr">
        <is>
          <t>→ 인프라 점검</t>
        </is>
      </c>
      <c r="B15" s="11" t="inlineStr">
        <is>
          <t>→ VDI 점검</t>
        </is>
      </c>
      <c r="C15" s="11" t="inlineStr">
        <is>
          <t>→ 관리/이슈</t>
        </is>
      </c>
      <c r="D15" s="0" t="inlineStr">
        <is>
          <t/>
        </is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</row>
  </sheetData>
  <mergeCells count="7">
    <mergeCell ref="A1:G1"/>
    <mergeCell ref="A2:G2"/>
    <mergeCell ref="A5:G5"/>
    <mergeCell ref="C9:G9"/>
    <mergeCell ref="C10:G10"/>
    <mergeCell ref="C11:G11"/>
    <mergeCell ref="A13:G13"/>
  </mergeCells>
  <hyperlinks>
    <hyperlink ref="A14" location="'02_Infra_Check'!A1" display="'02_Infra_Check'!A1"/>
    <hyperlink ref="B14" location="'03_VDI_Check'!A1" display="'03_VDI_Check'!A1"/>
    <hyperlink ref="C14" location="'04_Management'!A1" display="'04_Management'!A1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32" customWidth="1"/>
    <col min="4" max="4" width="38" customWidth="1"/>
    <col min="5" max="5" width="14" customWidth="1"/>
    <col min="6" max="6" width="14" customWidth="1"/>
    <col min="7" max="7" width="40" customWidth="1"/>
  </cols>
  <sheetData>
    <row r="1">
      <c r="A1" s="3" t="inlineStr">
        <is>
          <t>분류</t>
        </is>
      </c>
      <c r="B1" s="3" t="inlineStr">
        <is>
          <t>대상명</t>
        </is>
      </c>
      <c r="C1" s="3" t="inlineStr">
        <is>
          <t>점검항목</t>
        </is>
      </c>
      <c r="D1" s="3" t="inlineStr">
        <is>
          <t>점검기준</t>
        </is>
      </c>
      <c r="E1" s="3" t="inlineStr">
        <is>
          <t>현재수치(%)</t>
        </is>
      </c>
      <c r="F1" s="3" t="inlineStr">
        <is>
          <t>점검결과</t>
        </is>
      </c>
      <c r="G1" s="3" t="inlineStr">
        <is>
          <t>조치/비고</t>
        </is>
      </c>
    </row>
    <row r="2">
      <c r="A2" s="5" t="inlineStr">
        <is>
          <t>vCenter</t>
        </is>
      </c>
      <c r="B2" s="5" t="inlineStr">
        <is>
          <t>vCenter Server</t>
        </is>
      </c>
      <c r="C2" s="5" t="inlineStr">
        <is>
          <t>서비스/접속/알람</t>
        </is>
      </c>
      <c r="D2" s="5" t="inlineStr">
        <is>
          <t>Critical 알람 없음</t>
        </is>
      </c>
      <c r="E2" s="5">
        <v>0</v>
      </c>
      <c r="F2" s="0">
        <f>IF(E2="","확인필요",IF(E2&gt;=90,"장애",IF(E2&gt;=80,"주의","정상")))</f>
        <v/>
      </c>
      <c r="G2" s="5" t="inlineStr">
        <is>
          <t/>
        </is>
      </c>
    </row>
    <row r="3">
      <c r="A3" s="5" t="inlineStr">
        <is>
          <t>ESXi</t>
        </is>
      </c>
      <c r="B3" s="5" t="inlineStr">
        <is>
          <t>Host-01</t>
        </is>
      </c>
      <c r="C3" s="5" t="inlineStr">
        <is>
          <t>CPU 사용률</t>
        </is>
      </c>
      <c r="D3" s="5" t="inlineStr">
        <is>
          <t>80% 미만 정상, 90% 이상 장애</t>
        </is>
      </c>
      <c r="E3" s="5">
        <v>55</v>
      </c>
      <c r="F3" s="0">
        <f>IF(E3="","확인필요",IF(E3&gt;=90,"장애",IF(E3&gt;=80,"주의","정상")))</f>
        <v/>
      </c>
      <c r="G3" s="5" t="inlineStr">
        <is>
          <t/>
        </is>
      </c>
    </row>
    <row r="4">
      <c r="A4" s="5" t="inlineStr">
        <is>
          <t>ESXi</t>
        </is>
      </c>
      <c r="B4" s="5" t="inlineStr">
        <is>
          <t>Host-02</t>
        </is>
      </c>
      <c r="C4" s="5" t="inlineStr">
        <is>
          <t>Memory 사용률</t>
        </is>
      </c>
      <c r="D4" s="5" t="inlineStr">
        <is>
          <t>80% 미만 정상, 90% 이상 장애</t>
        </is>
      </c>
      <c r="E4" s="5">
        <v>62</v>
      </c>
      <c r="F4" s="0">
        <f>IF(E4="","확인필요",IF(E4&gt;=90,"장애",IF(E4&gt;=80,"주의","정상")))</f>
        <v/>
      </c>
      <c r="G4" s="5" t="inlineStr">
        <is>
          <t/>
        </is>
      </c>
    </row>
    <row r="5">
      <c r="A5" s="5" t="inlineStr">
        <is>
          <t>Storage</t>
        </is>
      </c>
      <c r="B5" s="5" t="inlineStr">
        <is>
          <t>Datastore-01</t>
        </is>
      </c>
      <c r="C5" s="5" t="inlineStr">
        <is>
          <t>용량 사용률</t>
        </is>
      </c>
      <c r="D5" s="5" t="inlineStr">
        <is>
          <t>80% 미만 정상, 90% 이상 장애</t>
        </is>
      </c>
      <c r="E5" s="5">
        <v>78</v>
      </c>
      <c r="F5" s="0">
        <f>IF(E5="","확인필요",IF(E5&gt;=90,"장애",IF(E5&gt;=80,"주의","정상")))</f>
        <v/>
      </c>
      <c r="G5" s="5" t="inlineStr">
        <is>
          <t/>
        </is>
      </c>
    </row>
    <row r="6">
      <c r="A6" s="5" t="inlineStr">
        <is>
          <t>Storage</t>
        </is>
      </c>
      <c r="B6" s="5" t="inlineStr">
        <is>
          <t>Datastore-02</t>
        </is>
      </c>
      <c r="C6" s="5" t="inlineStr">
        <is>
          <t>용량 사용률</t>
        </is>
      </c>
      <c r="D6" s="5" t="inlineStr">
        <is>
          <t>80% 미만 정상, 90% 이상 장애</t>
        </is>
      </c>
      <c r="E6" s="5">
        <v>86</v>
      </c>
      <c r="F6" s="0">
        <f>IF(E6="","확인필요",IF(E6&gt;=90,"장애",IF(E6&gt;=80,"주의","정상")))</f>
        <v/>
      </c>
      <c r="G6" s="5" t="inlineStr">
        <is>
          <t/>
        </is>
      </c>
    </row>
    <row r="7">
      <c r="A7" s="5" t="inlineStr">
        <is>
          <t>Backup</t>
        </is>
      </c>
      <c r="B7" s="5" t="inlineStr">
        <is>
          <t>vCenter Config Backup</t>
        </is>
      </c>
      <c r="C7" s="5" t="inlineStr">
        <is>
          <t>백업 성공 여부</t>
        </is>
      </c>
      <c r="D7" s="5" t="inlineStr">
        <is>
          <t>최근 1개월 내 성공</t>
        </is>
      </c>
      <c r="E7" s="5">
        <v>0</v>
      </c>
      <c r="F7" s="0">
        <f>IF(E7="","확인필요",IF(E7&gt;=90,"장애",IF(E7&gt;=80,"주의","정상")))</f>
        <v/>
      </c>
      <c r="G7" s="5" t="inlineStr">
        <is>
          <t/>
        </is>
      </c>
    </row>
    <row r="8">
      <c r="A8" s="5" t="inlineStr">
        <is>
          <t>Backup</t>
        </is>
      </c>
      <c r="B8" s="5" t="inlineStr">
        <is>
          <t>Horizon/Citrix Config</t>
        </is>
      </c>
      <c r="C8" s="5" t="inlineStr">
        <is>
          <t>설정 백업 확인</t>
        </is>
      </c>
      <c r="D8" s="5" t="inlineStr">
        <is>
          <t>월 1회 백업 확인</t>
        </is>
      </c>
      <c r="E8" s="5">
        <v>0</v>
      </c>
      <c r="F8" s="0">
        <f>IF(E8="","확인필요",IF(E8&gt;=90,"장애",IF(E8&gt;=80,"주의","정상")))</f>
        <v/>
      </c>
      <c r="G8" s="5" t="inlineStr">
        <is>
          <t/>
        </is>
      </c>
    </row>
  </sheetData>
  <dataValidations count="1">
    <dataValidation type="list" allowBlank="1" showErrorMessage="1" sqref="F2:F200">
      <formula1>"정상,주의,장애,확인필요"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26" customWidth="1"/>
    <col min="4" max="4" width="16" customWidth="1"/>
    <col min="5" max="5" width="14" customWidth="1"/>
    <col min="6" max="6" width="14" customWidth="1"/>
    <col min="7" max="7" width="12" customWidth="1"/>
    <col min="8" max="8" width="14" customWidth="1"/>
    <col min="9" max="9" width="38" customWidth="1"/>
  </cols>
  <sheetData>
    <row r="1">
      <c r="A1" s="3" t="inlineStr">
        <is>
          <t>솔루션</t>
        </is>
      </c>
      <c r="B1" s="3" t="inlineStr">
        <is>
          <t>컴포넌트</t>
        </is>
      </c>
      <c r="C1" s="3" t="inlineStr">
        <is>
          <t>대상명</t>
        </is>
      </c>
      <c r="D1" s="3" t="inlineStr">
        <is>
          <t>서비스 상태</t>
        </is>
      </c>
      <c r="E1" s="3" t="inlineStr">
        <is>
          <t>총 라이선스</t>
        </is>
      </c>
      <c r="F1" s="3" t="inlineStr">
        <is>
          <t>사용 라이선스</t>
        </is>
      </c>
      <c r="G1" s="3" t="inlineStr">
        <is>
          <t>사용률</t>
        </is>
      </c>
      <c r="H1" s="3" t="inlineStr">
        <is>
          <t>점검결과</t>
        </is>
      </c>
      <c r="I1" s="3" t="inlineStr">
        <is>
          <t>비고</t>
        </is>
      </c>
    </row>
    <row r="2">
      <c r="A2" s="5" t="inlineStr">
        <is>
          <t>Horizon</t>
        </is>
      </c>
      <c r="B2" s="5" t="inlineStr">
        <is>
          <t>Connection Server</t>
        </is>
      </c>
      <c r="C2" s="5" t="inlineStr">
        <is>
          <t>CS-01</t>
        </is>
      </c>
      <c r="D2" s="5" t="inlineStr">
        <is>
          <t>Running</t>
        </is>
      </c>
      <c r="E2" s="5">
        <v>0</v>
      </c>
      <c r="F2" s="5">
        <v>0</v>
      </c>
      <c r="G2" s="0">
        <f>IFERROR(F2/E2,0)</f>
        <v/>
      </c>
      <c r="H2" s="0">
        <f>IF(D2="Stopped","장애",IF(G2&gt;=0.9,"장애",IF(G2&gt;=0.8,"주의","정상")))</f>
        <v/>
      </c>
      <c r="I2" s="5" t="inlineStr">
        <is>
          <t/>
        </is>
      </c>
    </row>
    <row r="3">
      <c r="A3" s="5" t="inlineStr">
        <is>
          <t>Horizon</t>
        </is>
      </c>
      <c r="B3" s="5" t="inlineStr">
        <is>
          <t>Desktop Pool</t>
        </is>
      </c>
      <c r="C3" s="5" t="inlineStr">
        <is>
          <t>업무망 Pool</t>
        </is>
      </c>
      <c r="D3" s="5" t="inlineStr">
        <is>
          <t>Running</t>
        </is>
      </c>
      <c r="E3" s="5">
        <v>100</v>
      </c>
      <c r="F3" s="5">
        <v>62</v>
      </c>
      <c r="G3" s="0">
        <f>IFERROR(F3/E3,0)</f>
        <v/>
      </c>
      <c r="H3" s="0">
        <f>IF(D3="Stopped","장애",IF(G3&gt;=0.9,"장애",IF(G3&gt;=0.8,"주의","정상")))</f>
        <v/>
      </c>
      <c r="I3" s="5" t="inlineStr">
        <is>
          <t/>
        </is>
      </c>
    </row>
    <row r="4">
      <c r="A4" s="5" t="inlineStr">
        <is>
          <t>Horizon</t>
        </is>
      </c>
      <c r="B4" s="5" t="inlineStr">
        <is>
          <t>GPU Pool</t>
        </is>
      </c>
      <c r="C4" s="5" t="inlineStr">
        <is>
          <t>GPU Pool</t>
        </is>
      </c>
      <c r="D4" s="5" t="inlineStr">
        <is>
          <t>Running</t>
        </is>
      </c>
      <c r="E4" s="5">
        <v>20</v>
      </c>
      <c r="F4" s="5">
        <v>12</v>
      </c>
      <c r="G4" s="0">
        <f>IFERROR(F4/E4,0)</f>
        <v/>
      </c>
      <c r="H4" s="0">
        <f>IF(D4="Stopped","장애",IF(G4&gt;=0.9,"장애",IF(G4&gt;=0.8,"주의","정상")))</f>
        <v/>
      </c>
      <c r="I4" s="5" t="inlineStr">
        <is>
          <t/>
        </is>
      </c>
    </row>
    <row r="5">
      <c r="A5" s="5" t="inlineStr">
        <is>
          <t>Citrix</t>
        </is>
      </c>
      <c r="B5" s="5" t="inlineStr">
        <is>
          <t>Delivery Controller</t>
        </is>
      </c>
      <c r="C5" s="5" t="inlineStr">
        <is>
          <t>DDC-01</t>
        </is>
      </c>
      <c r="D5" s="5" t="inlineStr">
        <is>
          <t>Running</t>
        </is>
      </c>
      <c r="E5" s="5">
        <v>0</v>
      </c>
      <c r="F5" s="5">
        <v>0</v>
      </c>
      <c r="G5" s="0">
        <f>IFERROR(F5/E5,0)</f>
        <v/>
      </c>
      <c r="H5" s="0">
        <f>IF(D5="Stopped","장애",IF(G5&gt;=0.9,"장애",IF(G5&gt;=0.8,"주의","정상")))</f>
        <v/>
      </c>
      <c r="I5" s="5" t="inlineStr">
        <is>
          <t/>
        </is>
      </c>
    </row>
    <row r="6">
      <c r="A6" s="5" t="inlineStr">
        <is>
          <t>Citrix</t>
        </is>
      </c>
      <c r="B6" s="5" t="inlineStr">
        <is>
          <t>Machine Catalog</t>
        </is>
      </c>
      <c r="C6" s="5" t="inlineStr">
        <is>
          <t>VDI Catalog</t>
        </is>
      </c>
      <c r="D6" s="5" t="inlineStr">
        <is>
          <t>Running</t>
        </is>
      </c>
      <c r="E6" s="5">
        <v>100</v>
      </c>
      <c r="F6" s="5">
        <v>74</v>
      </c>
      <c r="G6" s="0">
        <f>IFERROR(F6/E6,0)</f>
        <v/>
      </c>
      <c r="H6" s="0">
        <f>IF(D6="Stopped","장애",IF(G6&gt;=0.9,"장애",IF(G6&gt;=0.8,"주의","정상")))</f>
        <v/>
      </c>
      <c r="I6" s="5" t="inlineStr">
        <is>
          <t/>
        </is>
      </c>
    </row>
    <row r="7">
      <c r="A7" s="5" t="inlineStr">
        <is>
          <t>Citrix</t>
        </is>
      </c>
      <c r="B7" s="5" t="inlineStr">
        <is>
          <t>StoreFront/Workspace</t>
        </is>
      </c>
      <c r="C7" s="5" t="inlineStr">
        <is>
          <t>SF-01</t>
        </is>
      </c>
      <c r="D7" s="5" t="inlineStr">
        <is>
          <t>Running</t>
        </is>
      </c>
      <c r="E7" s="5">
        <v>0</v>
      </c>
      <c r="F7" s="5">
        <v>0</v>
      </c>
      <c r="G7" s="0">
        <f>IFERROR(F7/E7,0)</f>
        <v/>
      </c>
      <c r="H7" s="0">
        <f>IF(D7="Stopped","장애",IF(G7&gt;=0.9,"장애",IF(G7&gt;=0.8,"주의","정상")))</f>
        <v/>
      </c>
      <c r="I7" s="5" t="inlineStr">
        <is>
          <t/>
        </is>
      </c>
    </row>
  </sheetData>
  <dataValidations count="2">
    <dataValidation type="list" allowBlank="1" showErrorMessage="1" sqref="D2:D200">
      <formula1>"Running,Stopped,확인필요"</formula1>
    </dataValidation>
    <dataValidation type="list" allowBlank="1" showErrorMessage="1" sqref="H2:H200">
      <formula1>"정상,주의,장애,확인필요"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4" customWidth="1"/>
    <col min="3" max="3" width="14" customWidth="1"/>
    <col min="4" max="4" width="24" customWidth="1"/>
    <col min="5" max="5" width="44" customWidth="1"/>
    <col min="6" max="6" width="44" customWidth="1"/>
    <col min="7" max="7" width="14" customWidth="1"/>
    <col min="8" max="8" width="14" customWidth="1"/>
    <col min="9" max="9" width="18" customWidth="1"/>
  </cols>
  <sheetData>
    <row r="1">
      <c r="A1" s="3" t="inlineStr">
        <is>
          <t>No</t>
        </is>
      </c>
      <c r="B1" s="3" t="inlineStr">
        <is>
          <t>구분</t>
        </is>
      </c>
      <c r="C1" s="3" t="inlineStr">
        <is>
          <t>일자</t>
        </is>
      </c>
      <c r="D1" s="3" t="inlineStr">
        <is>
          <t>대상 시스템</t>
        </is>
      </c>
      <c r="E1" s="3" t="inlineStr">
        <is>
          <t>상세 내용</t>
        </is>
      </c>
      <c r="F1" s="3" t="inlineStr">
        <is>
          <t>조치 내용</t>
        </is>
      </c>
      <c r="G1" s="3" t="inlineStr">
        <is>
          <t>처리상태</t>
        </is>
      </c>
      <c r="H1" s="3" t="inlineStr">
        <is>
          <t>담당</t>
        </is>
      </c>
      <c r="I1" s="3" t="inlineStr">
        <is>
          <t>완료예정/완료일</t>
        </is>
      </c>
    </row>
    <row r="2">
      <c r="A2" s="5">
        <v>1</v>
      </c>
      <c r="B2" s="5" t="inlineStr">
        <is>
          <t>보안</t>
        </is>
      </c>
      <c r="C2" s="5" t="inlineStr">
        <is>
          <t>2026-05-</t>
        </is>
      </c>
      <c r="D2" s="5" t="inlineStr">
        <is>
          <t>관리자 계정</t>
        </is>
      </c>
      <c r="E2" s="5" t="inlineStr">
        <is>
          <t>계정/권한 변경 이력 확인</t>
        </is>
      </c>
      <c r="F2" s="5" t="inlineStr">
        <is>
          <t>변경사항 기록 및 불필요 권한 회수</t>
        </is>
      </c>
      <c r="G2" s="5" t="inlineStr">
        <is>
          <t>진행중</t>
        </is>
      </c>
      <c r="H2" s="5" t="inlineStr">
        <is>
          <t>현우</t>
        </is>
      </c>
      <c r="I2" s="5" t="inlineStr">
        <is>
          <t/>
        </is>
      </c>
    </row>
    <row r="3">
      <c r="A3" s="5">
        <v>2</v>
      </c>
      <c r="B3" s="5" t="inlineStr">
        <is>
          <t>변경</t>
        </is>
      </c>
      <c r="C3" s="5" t="inlineStr">
        <is>
          <t>2026-05-</t>
        </is>
      </c>
      <c r="D3" s="5" t="inlineStr">
        <is>
          <t>VDI Pool</t>
        </is>
      </c>
      <c r="E3" s="5" t="inlineStr">
        <is>
          <t>Windows 11 업데이트/Recompose 계획</t>
        </is>
      </c>
      <c r="F3" s="5" t="inlineStr">
        <is>
          <t>테스트 VM 검증 후 일정 수립</t>
        </is>
      </c>
      <c r="G3" s="5" t="inlineStr">
        <is>
          <t>미해결</t>
        </is>
      </c>
      <c r="H3" s="5" t="inlineStr">
        <is>
          <t>현우</t>
        </is>
      </c>
      <c r="I3" s="5" t="inlineStr">
        <is>
          <t/>
        </is>
      </c>
    </row>
    <row r="4">
      <c r="A4" s="5">
        <v>3</v>
      </c>
      <c r="B4" s="5" t="inlineStr">
        <is>
          <t>이슈</t>
        </is>
      </c>
      <c r="C4" s="5" t="inlineStr">
        <is>
          <t>2026-05-</t>
        </is>
      </c>
      <c r="D4" s="5" t="inlineStr">
        <is>
          <t>지역센터 IP</t>
        </is>
      </c>
      <c r="E4" s="5" t="inlineStr">
        <is>
          <t>IP 관리 체계 수립 필요</t>
        </is>
      </c>
      <c r="F4" s="5" t="inlineStr">
        <is>
          <t>대역 현황 파악 및 관리방안 수립</t>
        </is>
      </c>
      <c r="G4" s="5" t="inlineStr">
        <is>
          <t>미해결</t>
        </is>
      </c>
      <c r="H4" s="5" t="inlineStr">
        <is>
          <t>현우</t>
        </is>
      </c>
      <c r="I4" s="5" t="inlineStr">
        <is>
          <t/>
        </is>
      </c>
    </row>
    <row r="5">
      <c r="A5" s="5">
        <v>4</v>
      </c>
      <c r="B5" s="5" t="inlineStr">
        <is>
          <t>장애</t>
        </is>
      </c>
      <c r="C5" s="5" t="inlineStr">
        <is>
          <t>2026-05-</t>
        </is>
      </c>
      <c r="D5" s="5" t="inlineStr">
        <is>
          <t/>
        </is>
      </c>
      <c r="E5" s="5" t="inlineStr">
        <is>
          <t/>
        </is>
      </c>
      <c r="F5" s="5" t="inlineStr">
        <is>
          <t/>
        </is>
      </c>
      <c r="G5" s="5" t="inlineStr">
        <is>
          <t>완료</t>
        </is>
      </c>
      <c r="H5" s="5" t="inlineStr">
        <is>
          <t>현우</t>
        </is>
      </c>
      <c r="I5" s="5" t="inlineStr">
        <is>
          <t/>
        </is>
      </c>
    </row>
    <row r="6">
      <c r="A6" s="5">
        <v>5</v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</row>
    <row r="7">
      <c r="A7" s="5">
        <v>6</v>
      </c>
      <c r="B7" s="5" t="inlineStr">
        <is>
          <t/>
        </is>
      </c>
      <c r="C7" s="5" t="inlineStr">
        <is>
          <t/>
        </is>
      </c>
      <c r="D7" s="5" t="inlineStr">
        <is>
          <t/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</row>
    <row r="8">
      <c r="A8" s="5">
        <v>7</v>
      </c>
      <c r="B8" s="5" t="inlineStr">
        <is>
          <t/>
        </is>
      </c>
      <c r="C8" s="5" t="inlineStr">
        <is>
          <t/>
        </is>
      </c>
      <c r="D8" s="5" t="inlineStr">
        <is>
          <t/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</row>
    <row r="9">
      <c r="A9" s="5">
        <v>8</v>
      </c>
      <c r="B9" s="5" t="inlineStr">
        <is>
          <t/>
        </is>
      </c>
      <c r="C9" s="5" t="inlineStr">
        <is>
          <t/>
        </is>
      </c>
      <c r="D9" s="5" t="inlineStr">
        <is>
          <t/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</row>
    <row r="10">
      <c r="A10" s="5">
        <v>9</v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</row>
    <row r="11">
      <c r="A11" s="5">
        <v>10</v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</row>
    <row r="12">
      <c r="A12" s="5">
        <v>11</v>
      </c>
      <c r="B12" s="5" t="inlineStr">
        <is>
          <t/>
        </is>
      </c>
      <c r="C12" s="5" t="inlineStr">
        <is>
          <t/>
        </is>
      </c>
      <c r="D12" s="5" t="inlineStr">
        <is>
          <t/>
        </is>
      </c>
      <c r="E12" s="5" t="inlineStr">
        <is>
          <t/>
        </is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</row>
    <row r="13">
      <c r="A13" s="5">
        <v>12</v>
      </c>
      <c r="B13" s="5" t="inlineStr">
        <is>
          <t/>
        </is>
      </c>
      <c r="C13" s="5" t="inlineStr">
        <is>
          <t/>
        </is>
      </c>
      <c r="D13" s="5" t="inlineStr">
        <is>
          <t/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</row>
    <row r="14">
      <c r="A14" s="5">
        <v>13</v>
      </c>
      <c r="B14" s="5" t="inlineStr">
        <is>
          <t/>
        </is>
      </c>
      <c r="C14" s="5" t="inlineStr">
        <is>
          <t/>
        </is>
      </c>
      <c r="D14" s="5" t="inlineStr">
        <is>
          <t/>
        </is>
      </c>
      <c r="E14" s="5" t="inlineStr">
        <is>
          <t/>
        </is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</row>
    <row r="15">
      <c r="A15" s="5">
        <v>14</v>
      </c>
      <c r="B15" s="5" t="inlineStr">
        <is>
          <t/>
        </is>
      </c>
      <c r="C15" s="5" t="inlineStr">
        <is>
          <t/>
        </is>
      </c>
      <c r="D15" s="5" t="inlineStr">
        <is>
          <t/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</row>
  </sheetData>
  <dataValidations count="2">
    <dataValidation type="list" allowBlank="1" showErrorMessage="1" sqref="G2:G200">
      <formula1>"완료,진행중,미해결,보류"</formula1>
    </dataValidation>
    <dataValidation type="list" allowBlank="1" showErrorMessage="1" sqref="B2:B200">
      <formula1>"보안,변경,장애,이슈,권고"</formula1>
    </dataValidation>
  </dataValidations>
</worksheet>
</file>